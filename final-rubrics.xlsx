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C:\Users\llight\Desktop\file these\"/>
    </mc:Choice>
  </mc:AlternateContent>
  <bookViews>
    <workbookView xWindow="0" yWindow="0" windowWidth="15105" windowHeight="7350" tabRatio="835" activeTab="1"/>
  </bookViews>
  <sheets>
    <sheet name=" final proposal" sheetId="5" r:id="rId1"/>
    <sheet name="final presentation" sheetId="2" r:id="rId2"/>
    <sheet name="works like prototype" sheetId="6" r:id="rId3"/>
  </sheets>
  <definedNames>
    <definedName name="_xlnm.Print_Area" localSheetId="0">' final proposal'!$A$1:$O$26</definedName>
    <definedName name="_xlnm.Print_Area" localSheetId="1">'final presentation'!$A$1:$O$17</definedName>
    <definedName name="_xlnm.Print_Area" localSheetId="2">'works like prototype'!$A$1:$O$14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7" i="5" l="1"/>
  <c r="P10" i="6" l="1"/>
  <c r="P9" i="6" l="1"/>
  <c r="P13" i="2"/>
  <c r="P12" i="2"/>
  <c r="P11" i="2"/>
  <c r="P8" i="6"/>
  <c r="P7" i="6"/>
  <c r="P6" i="6"/>
  <c r="P22" i="5"/>
  <c r="P21" i="5"/>
  <c r="P20" i="5"/>
  <c r="P19" i="5"/>
  <c r="M11" i="6" l="1"/>
  <c r="M12" i="6" s="1"/>
  <c r="P11" i="6"/>
  <c r="P9" i="2"/>
  <c r="P7" i="5"/>
  <c r="P8" i="5"/>
  <c r="P9" i="5"/>
  <c r="P10" i="5"/>
  <c r="P11" i="5"/>
  <c r="P12" i="5"/>
  <c r="P13" i="5"/>
  <c r="P14" i="5"/>
  <c r="P15" i="5"/>
  <c r="P16" i="5"/>
  <c r="P18" i="5"/>
  <c r="P6" i="5"/>
  <c r="P6" i="2"/>
  <c r="P7" i="2"/>
  <c r="P8" i="2"/>
  <c r="P10" i="2"/>
  <c r="P14" i="2" l="1"/>
  <c r="P23" i="5"/>
  <c r="P24" i="5" s="1"/>
  <c r="M23" i="5"/>
  <c r="M24" i="5" s="1"/>
  <c r="M14" i="2"/>
  <c r="M15" i="2" s="1"/>
</calcChain>
</file>

<file path=xl/sharedStrings.xml><?xml version="1.0" encoding="utf-8"?>
<sst xmlns="http://schemas.openxmlformats.org/spreadsheetml/2006/main" count="99" uniqueCount="56">
  <si>
    <t>Assessment Criteria</t>
  </si>
  <si>
    <t>Exceeds Expectations/ Excellent</t>
  </si>
  <si>
    <t>Meets Expectations/ Good</t>
  </si>
  <si>
    <t>Needs Improvement</t>
  </si>
  <si>
    <t>Inadequate</t>
  </si>
  <si>
    <t>Grade:</t>
  </si>
  <si>
    <t>Points:</t>
  </si>
  <si>
    <t>x</t>
  </si>
  <si>
    <t>yes</t>
  </si>
  <si>
    <t>Comments</t>
  </si>
  <si>
    <t>Additional or overall comments:</t>
  </si>
  <si>
    <t xml:space="preserve">Team Name: </t>
  </si>
  <si>
    <t>Presentation Content</t>
  </si>
  <si>
    <r>
      <t xml:space="preserve">Effective introductions of: Project (including problem definition), team, team members, and purpose of presentation. </t>
    </r>
    <r>
      <rPr>
        <b/>
        <i/>
        <sz val="12"/>
        <color theme="1"/>
        <rFont val="Calibri"/>
        <family val="2"/>
        <scheme val="minor"/>
      </rPr>
      <t xml:space="preserve"> </t>
    </r>
  </si>
  <si>
    <t xml:space="preserve">Graphics are visible, labeled, and add to the presentation. </t>
  </si>
  <si>
    <t>Content</t>
  </si>
  <si>
    <t xml:space="preserve">Other Attributes </t>
  </si>
  <si>
    <t>Additional comments:</t>
  </si>
  <si>
    <t>Assessment Criteria (10 total points)</t>
  </si>
  <si>
    <t>Works-like Prototype</t>
  </si>
  <si>
    <r>
      <rPr>
        <b/>
        <sz val="12"/>
        <color theme="1"/>
        <rFont val="Calibri"/>
        <family val="2"/>
        <scheme val="minor"/>
      </rPr>
      <t xml:space="preserve">Title Page: </t>
    </r>
    <r>
      <rPr>
        <sz val="12"/>
        <color theme="1"/>
        <rFont val="Calibri"/>
        <family val="2"/>
        <scheme val="minor"/>
      </rPr>
      <t xml:space="preserve">professional impactful, contains all necessary descriptive information.  </t>
    </r>
  </si>
  <si>
    <r>
      <rPr>
        <b/>
        <sz val="12"/>
        <rFont val="Calibri"/>
        <family val="2"/>
        <scheme val="minor"/>
      </rPr>
      <t>Table of contents, List of figures, and List of tables:</t>
    </r>
    <r>
      <rPr>
        <sz val="12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Logically organized material, and effective at helping the reader navigate the proposal.  </t>
    </r>
  </si>
  <si>
    <r>
      <rPr>
        <i/>
        <sz val="12"/>
        <color theme="1"/>
        <rFont val="Calibri"/>
        <family val="2"/>
        <scheme val="minor"/>
      </rPr>
      <t>Appearance</t>
    </r>
    <r>
      <rPr>
        <sz val="12"/>
        <color theme="1"/>
        <rFont val="Calibri"/>
        <family val="2"/>
        <scheme val="minor"/>
      </rPr>
      <t xml:space="preserve">: Appropriate dress, effective layout of chosen artifacts.  </t>
    </r>
  </si>
  <si>
    <t xml:space="preserve">Team effectively draws audience in with 2-way dialogue and Q&amp;A.   </t>
  </si>
  <si>
    <t>Attributes</t>
  </si>
  <si>
    <r>
      <rPr>
        <i/>
        <sz val="12"/>
        <rFont val="Calibri"/>
        <family val="2"/>
        <scheme val="minor"/>
      </rPr>
      <t>Execution</t>
    </r>
    <r>
      <rPr>
        <sz val="12"/>
        <rFont val="Calibri"/>
        <family val="2"/>
        <scheme val="minor"/>
      </rPr>
      <t>: Clear delivery (speech volume and clarity, eye contact); time management; feedback solicited and received.</t>
    </r>
  </si>
  <si>
    <r>
      <rPr>
        <b/>
        <sz val="12"/>
        <rFont val="Calibri"/>
        <family val="2"/>
        <scheme val="minor"/>
      </rPr>
      <t xml:space="preserve">Writing quality: </t>
    </r>
    <r>
      <rPr>
        <sz val="12"/>
        <rFont val="Calibri"/>
        <family val="2"/>
        <scheme val="minor"/>
      </rPr>
      <t xml:space="preserve">no </t>
    </r>
    <r>
      <rPr>
        <sz val="12"/>
        <rFont val="Calibri"/>
        <family val="2"/>
        <scheme val="minor"/>
      </rPr>
      <t>misspelled or misused words; punctuation used correctly; professional tone.</t>
    </r>
  </si>
  <si>
    <r>
      <rPr>
        <b/>
        <sz val="12"/>
        <rFont val="Calibri"/>
        <family val="2"/>
        <scheme val="minor"/>
      </rPr>
      <t xml:space="preserve">Report Format: </t>
    </r>
    <r>
      <rPr>
        <sz val="12"/>
        <rFont val="Calibri"/>
        <family val="2"/>
        <scheme val="minor"/>
      </rPr>
      <t>All formatting directions followed</t>
    </r>
    <r>
      <rPr>
        <sz val="12"/>
        <rFont val="Calibri"/>
        <family val="2"/>
        <scheme val="minor"/>
      </rPr>
      <t>.  Professional binding  with clear front cover and solid back cover; with all items placed in correct order.</t>
    </r>
  </si>
  <si>
    <r>
      <rPr>
        <b/>
        <sz val="12"/>
        <rFont val="Calibri"/>
        <family val="2"/>
        <scheme val="minor"/>
      </rPr>
      <t>Writing clarity:</t>
    </r>
    <r>
      <rPr>
        <sz val="12"/>
        <rFont val="Calibri"/>
        <family val="2"/>
        <scheme val="minor"/>
      </rPr>
      <t xml:space="preserve"> Crisp, clear and concise; easy to digest.   </t>
    </r>
  </si>
  <si>
    <r>
      <t>EPICS 151 Final Proposal Rubric</t>
    </r>
    <r>
      <rPr>
        <i/>
        <sz val="16"/>
        <color theme="1"/>
        <rFont val="Calibri"/>
        <family val="2"/>
        <scheme val="minor"/>
      </rPr>
      <t xml:space="preserve"> (10%, team grade)</t>
    </r>
  </si>
  <si>
    <r>
      <t xml:space="preserve">no </t>
    </r>
    <r>
      <rPr>
        <sz val="16"/>
        <color theme="1"/>
        <rFont val="Calibri"/>
        <family val="2"/>
        <scheme val="minor"/>
      </rPr>
      <t>(-5%)</t>
    </r>
  </si>
  <si>
    <r>
      <t xml:space="preserve">no </t>
    </r>
    <r>
      <rPr>
        <sz val="14"/>
        <color theme="1"/>
        <rFont val="Calibri"/>
        <family val="2"/>
        <scheme val="minor"/>
      </rPr>
      <t>(-5%)</t>
    </r>
  </si>
  <si>
    <r>
      <t>EPICS 151 Final presentation</t>
    </r>
    <r>
      <rPr>
        <i/>
        <sz val="16"/>
        <color theme="1"/>
        <rFont val="Calibri"/>
        <family val="2"/>
        <scheme val="minor"/>
      </rPr>
      <t xml:space="preserve"> (5%, team grade)</t>
    </r>
  </si>
  <si>
    <r>
      <t xml:space="preserve">EPICS 151 Works-like prototype </t>
    </r>
    <r>
      <rPr>
        <i/>
        <sz val="16"/>
        <color theme="1"/>
        <rFont val="Calibri"/>
        <family val="2"/>
        <scheme val="minor"/>
      </rPr>
      <t xml:space="preserve"> (5%, team grade)</t>
    </r>
  </si>
  <si>
    <t xml:space="preserve">The team justifies its solution with a compelling case of the value proposition, compared with the cost.  </t>
  </si>
  <si>
    <t xml:space="preserve">The team justifies its preferred option through proper use of presentation artifacts, including prototype. </t>
  </si>
  <si>
    <t xml:space="preserve">The featured prototype characteristics were selected to validate the most questionable aspects of the design. </t>
  </si>
  <si>
    <r>
      <rPr>
        <b/>
        <sz val="12"/>
        <color theme="1"/>
        <rFont val="Calibri"/>
        <family val="2"/>
        <scheme val="minor"/>
      </rPr>
      <t xml:space="preserve">Executive Summary: </t>
    </r>
    <r>
      <rPr>
        <sz val="12"/>
        <color theme="1"/>
        <rFont val="Calibri"/>
        <family val="2"/>
        <scheme val="minor"/>
      </rPr>
      <t>the complete report in highly condensed form (~ one page) that stands on its own; contains prototype cost, and estimated production cost, including value proposition of the concept.</t>
    </r>
  </si>
  <si>
    <r>
      <rPr>
        <b/>
        <sz val="12"/>
        <rFont val="Calibri"/>
        <family val="2"/>
        <scheme val="minor"/>
      </rPr>
      <t>Appendix: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Material in appendix is labeled well and has been chosen with care to support the proposal.  Required materials put together according to guidelines.</t>
    </r>
  </si>
  <si>
    <r>
      <rPr>
        <b/>
        <sz val="12"/>
        <rFont val="Calibri"/>
        <family val="2"/>
        <scheme val="minor"/>
      </rPr>
      <t xml:space="preserve">Conclusion: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Concise overview of why your solution is the best possible one, and what advantages it offers over existing methodology (value proposition).  Discussion on next steps and recommendation.  </t>
    </r>
  </si>
  <si>
    <r>
      <t xml:space="preserve">Marginal    </t>
    </r>
    <r>
      <rPr>
        <sz val="12"/>
        <color theme="1"/>
        <rFont val="Calibri"/>
        <family val="2"/>
        <scheme val="minor"/>
      </rPr>
      <t>(-2%)</t>
    </r>
  </si>
  <si>
    <r>
      <t xml:space="preserve">Marginal    </t>
    </r>
    <r>
      <rPr>
        <sz val="14"/>
        <color theme="1"/>
        <rFont val="Calibri"/>
        <family val="2"/>
        <scheme val="minor"/>
      </rPr>
      <t>(-2%)</t>
    </r>
  </si>
  <si>
    <r>
      <rPr>
        <b/>
        <sz val="12"/>
        <rFont val="Calibri"/>
        <family val="2"/>
        <scheme val="minor"/>
      </rPr>
      <t>Introduction:</t>
    </r>
    <r>
      <rPr>
        <sz val="12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Purpose and organization of the report, problem statement from donor, background information with reference citations. </t>
    </r>
  </si>
  <si>
    <r>
      <rPr>
        <b/>
        <sz val="12"/>
        <rFont val="Calibri"/>
        <family val="2"/>
        <scheme val="minor"/>
      </rPr>
      <t>Introduction:</t>
    </r>
    <r>
      <rPr>
        <sz val="12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Problem statement from your team; identification of stakeholders and end users and which ones were considered in the design of your solution.  </t>
    </r>
  </si>
  <si>
    <r>
      <rPr>
        <b/>
        <sz val="12"/>
        <rFont val="Calibri"/>
        <family val="2"/>
        <scheme val="minor"/>
      </rPr>
      <t xml:space="preserve">Proposed solution overview: </t>
    </r>
    <r>
      <rPr>
        <sz val="12"/>
        <rFont val="Calibri"/>
        <family val="2"/>
        <scheme val="minor"/>
      </rPr>
      <t>Chosen design is introduced with effective graphics (isometric view of final design) and supporting evidence - including value proposition, key technical elements.  Includes discussion about both processing and collection.</t>
    </r>
  </si>
  <si>
    <r>
      <rPr>
        <b/>
        <sz val="12"/>
        <rFont val="Calibri"/>
        <family val="2"/>
        <scheme val="minor"/>
      </rPr>
      <t xml:space="preserve">Proposed solution details: </t>
    </r>
    <r>
      <rPr>
        <sz val="12"/>
        <rFont val="Calibri"/>
        <family val="2"/>
        <scheme val="minor"/>
      </rPr>
      <t xml:space="preserve"> Product assembly, and interfaces are fully described with effective graphics, materials list, and full-production cost estimates. Operation and maintenance; and risk analysis. </t>
    </r>
  </si>
  <si>
    <r>
      <t>Concept Validation:</t>
    </r>
    <r>
      <rPr>
        <sz val="12"/>
        <rFont val="Calibri"/>
        <family val="2"/>
        <scheme val="minor"/>
      </rPr>
      <t xml:space="preserve"> Proof that concept will work.  Overview of prototype testing including protocols and results; research; and analysis / calculations.</t>
    </r>
  </si>
  <si>
    <r>
      <rPr>
        <b/>
        <sz val="12"/>
        <rFont val="Calibri"/>
        <family val="2"/>
        <scheme val="minor"/>
      </rPr>
      <t xml:space="preserve">Concept Validation: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Impact of testing on iteration on the concept; cost of protoype.</t>
    </r>
  </si>
  <si>
    <r>
      <rPr>
        <b/>
        <sz val="12"/>
        <rFont val="Calibri"/>
        <family val="2"/>
        <scheme val="minor"/>
      </rPr>
      <t xml:space="preserve">Bibliography: </t>
    </r>
    <r>
      <rPr>
        <sz val="12"/>
        <rFont val="Calibri"/>
        <family val="2"/>
        <scheme val="minor"/>
      </rPr>
      <t xml:space="preserve">Variety of source types are present (e.g., online, print, interviews), and sources are substantial in quality and sufficient in quantity. </t>
    </r>
    <r>
      <rPr>
        <sz val="12"/>
        <rFont val="Calibri"/>
        <family val="2"/>
        <scheme val="minor"/>
      </rPr>
      <t xml:space="preserve">IEEE format used. </t>
    </r>
  </si>
  <si>
    <r>
      <rPr>
        <b/>
        <sz val="12"/>
        <rFont val="Calibri"/>
        <family val="2"/>
        <scheme val="minor"/>
      </rPr>
      <t xml:space="preserve">Effective, quality graphics:  </t>
    </r>
    <r>
      <rPr>
        <sz val="12"/>
        <rFont val="Calibri"/>
        <family val="2"/>
        <scheme val="minor"/>
      </rPr>
      <t>All sketches and tables complement the body of text, and are labeled correctly and referred to in the text at least once; figure construction has professional appearance; sufficiently detailed figure labeling; margins observed.  Author / artist noted on each.</t>
    </r>
  </si>
  <si>
    <r>
      <rPr>
        <b/>
        <sz val="12"/>
        <rFont val="Calibri"/>
        <family val="2"/>
        <scheme val="minor"/>
      </rPr>
      <t>Appendix: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Complete set of production drawings using industry standard formatting. </t>
    </r>
  </si>
  <si>
    <t xml:space="preserve">Prototype testing adhered to stated testing protocols, and results are used in a test-refine-iterate cycle.  </t>
  </si>
  <si>
    <t>The prototype extends and supports the credibility of the team's concept.</t>
  </si>
  <si>
    <r>
      <rPr>
        <i/>
        <sz val="12"/>
        <color theme="1"/>
        <rFont val="Calibri"/>
        <family val="2"/>
        <scheme val="minor"/>
      </rPr>
      <t>Prototype construction:</t>
    </r>
    <r>
      <rPr>
        <sz val="12"/>
        <color theme="1"/>
        <rFont val="Calibri"/>
        <family val="2"/>
        <scheme val="minor"/>
      </rPr>
      <t xml:space="preserve"> Prototype is not an unmodified or barely modified store-bought item(s). Measured and scaled to size. </t>
    </r>
  </si>
  <si>
    <t>The testing protocols are documented, and well-considered.</t>
  </si>
  <si>
    <t xml:space="preserve">High quality graphics and other artifacts enhance the effectiveness of presentation.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</si>
</sst>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0" tint="-0.499984740745262"/>
      <name val="Arial"/>
      <family val="2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0" tint="-0.499984740745262"/>
      <name val="Arial"/>
      <family val="2"/>
    </font>
    <font>
      <sz val="16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9" fillId="3" borderId="2" xfId="0" applyFont="1" applyFill="1" applyBorder="1" applyAlignment="1">
      <alignment vertical="center" wrapText="1"/>
    </xf>
    <xf numFmtId="0" fontId="10" fillId="3" borderId="0" xfId="0" applyFont="1" applyFill="1"/>
    <xf numFmtId="0" fontId="0" fillId="3" borderId="0" xfId="0" applyFont="1" applyFill="1"/>
    <xf numFmtId="0" fontId="8" fillId="3" borderId="0" xfId="0" applyFont="1" applyFill="1" applyAlignment="1"/>
    <xf numFmtId="0" fontId="13" fillId="3" borderId="1" xfId="0" applyFont="1" applyFill="1" applyBorder="1" applyAlignment="1"/>
    <xf numFmtId="0" fontId="10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0" xfId="0" applyFont="1" applyFill="1" applyBorder="1"/>
    <xf numFmtId="0" fontId="0" fillId="4" borderId="1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65" fontId="16" fillId="3" borderId="0" xfId="13" applyNumberFormat="1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8" fillId="3" borderId="0" xfId="0" applyFont="1" applyFill="1"/>
    <xf numFmtId="0" fontId="20" fillId="3" borderId="3" xfId="0" applyFont="1" applyFill="1" applyBorder="1" applyAlignment="1">
      <alignment horizontal="left" vertical="top"/>
    </xf>
    <xf numFmtId="0" fontId="0" fillId="0" borderId="0" xfId="0" applyFont="1"/>
    <xf numFmtId="0" fontId="20" fillId="3" borderId="0" xfId="0" applyFont="1" applyFill="1" applyAlignment="1"/>
    <xf numFmtId="0" fontId="10" fillId="0" borderId="1" xfId="0" applyFont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vertical="center" wrapText="1"/>
    </xf>
    <xf numFmtId="43" fontId="20" fillId="3" borderId="0" xfId="0" applyNumberFormat="1" applyFont="1" applyFill="1"/>
    <xf numFmtId="0" fontId="13" fillId="3" borderId="2" xfId="0" applyFont="1" applyFill="1" applyBorder="1" applyAlignment="1"/>
    <xf numFmtId="0" fontId="22" fillId="5" borderId="1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vertical="center" wrapText="1"/>
    </xf>
    <xf numFmtId="0" fontId="24" fillId="7" borderId="3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vertical="center" wrapText="1"/>
    </xf>
    <xf numFmtId="43" fontId="29" fillId="3" borderId="0" xfId="13" applyFont="1" applyFill="1" applyBorder="1" applyAlignment="1">
      <alignment vertical="center" wrapText="1"/>
    </xf>
    <xf numFmtId="0" fontId="27" fillId="7" borderId="4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vertical="center" wrapText="1"/>
    </xf>
    <xf numFmtId="0" fontId="27" fillId="7" borderId="2" xfId="0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8" fillId="2" borderId="5" xfId="0" applyFont="1" applyFill="1" applyBorder="1" applyAlignment="1">
      <alignment horizontal="center" vertical="center" textRotation="90"/>
    </xf>
    <xf numFmtId="0" fontId="8" fillId="2" borderId="6" xfId="0" applyFont="1" applyFill="1" applyBorder="1" applyAlignment="1">
      <alignment horizontal="center" vertical="center" textRotation="90"/>
    </xf>
    <xf numFmtId="0" fontId="4" fillId="3" borderId="7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right" vertical="center"/>
    </xf>
    <xf numFmtId="9" fontId="5" fillId="0" borderId="2" xfId="4" applyFont="1" applyBorder="1" applyAlignment="1">
      <alignment vertical="center"/>
    </xf>
    <xf numFmtId="9" fontId="5" fillId="0" borderId="3" xfId="4" applyFont="1" applyBorder="1" applyAlignment="1">
      <alignment vertical="center"/>
    </xf>
    <xf numFmtId="9" fontId="5" fillId="0" borderId="4" xfId="4" applyFont="1" applyBorder="1" applyAlignment="1">
      <alignment vertical="center"/>
    </xf>
    <xf numFmtId="0" fontId="4" fillId="3" borderId="0" xfId="0" applyFont="1" applyFill="1" applyBorder="1" applyAlignment="1">
      <alignment horizontal="right" vertical="center"/>
    </xf>
    <xf numFmtId="164" fontId="25" fillId="0" borderId="2" xfId="0" applyNumberFormat="1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8" fillId="6" borderId="5" xfId="0" applyFont="1" applyFill="1" applyBorder="1" applyAlignment="1">
      <alignment horizontal="center" vertical="center" textRotation="90" wrapText="1"/>
    </xf>
    <xf numFmtId="0" fontId="8" fillId="6" borderId="6" xfId="0" applyFont="1" applyFill="1" applyBorder="1" applyAlignment="1">
      <alignment horizontal="center" vertical="center" textRotation="90" wrapText="1"/>
    </xf>
    <xf numFmtId="0" fontId="20" fillId="3" borderId="2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 textRotation="90" wrapText="1"/>
    </xf>
    <xf numFmtId="0" fontId="8" fillId="2" borderId="6" xfId="0" applyFont="1" applyFill="1" applyBorder="1" applyAlignment="1">
      <alignment horizontal="center" vertical="center" textRotation="90" wrapText="1"/>
    </xf>
    <xf numFmtId="0" fontId="0" fillId="0" borderId="2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4" fillId="3" borderId="9" xfId="0" applyFont="1" applyFill="1" applyBorder="1" applyAlignment="1">
      <alignment horizontal="right" vertical="center"/>
    </xf>
    <xf numFmtId="164" fontId="4" fillId="0" borderId="2" xfId="13" applyNumberFormat="1" applyFont="1" applyBorder="1" applyAlignment="1">
      <alignment vertical="center"/>
    </xf>
    <xf numFmtId="164" fontId="4" fillId="0" borderId="3" xfId="13" applyNumberFormat="1" applyFont="1" applyBorder="1" applyAlignment="1">
      <alignment vertical="center"/>
    </xf>
    <xf numFmtId="164" fontId="4" fillId="0" borderId="4" xfId="13" applyNumberFormat="1" applyFont="1" applyBorder="1" applyAlignment="1">
      <alignment vertical="center"/>
    </xf>
    <xf numFmtId="0" fontId="28" fillId="6" borderId="1" xfId="0" applyFont="1" applyFill="1" applyBorder="1" applyAlignment="1">
      <alignment horizontal="center" vertical="center" textRotation="90" wrapText="1"/>
    </xf>
    <xf numFmtId="0" fontId="8" fillId="6" borderId="1" xfId="0" applyFont="1" applyFill="1" applyBorder="1" applyAlignment="1">
      <alignment horizontal="center" vertical="center" textRotation="90" wrapText="1"/>
    </xf>
    <xf numFmtId="0" fontId="28" fillId="6" borderId="1" xfId="0" applyFont="1" applyFill="1" applyBorder="1" applyAlignment="1">
      <alignment horizontal="right" vertical="center" textRotation="90" wrapText="1"/>
    </xf>
    <xf numFmtId="0" fontId="8" fillId="6" borderId="1" xfId="0" applyFont="1" applyFill="1" applyBorder="1" applyAlignment="1">
      <alignment horizontal="right" vertical="center" textRotation="90" wrapText="1"/>
    </xf>
    <xf numFmtId="0" fontId="8" fillId="2" borderId="5" xfId="0" applyFont="1" applyFill="1" applyBorder="1" applyAlignment="1">
      <alignment vertical="center" textRotation="90" wrapText="1"/>
    </xf>
    <xf numFmtId="0" fontId="8" fillId="2" borderId="6" xfId="0" applyFont="1" applyFill="1" applyBorder="1" applyAlignment="1">
      <alignment vertical="center" textRotation="90" wrapText="1"/>
    </xf>
  </cellXfs>
  <cellStyles count="14">
    <cellStyle name="Comma 2" xfId="13"/>
    <cellStyle name="Followed Hyperlink" xfId="2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  <cellStyle name="Normal 2" xfId="3"/>
    <cellStyle name="Percent" xfId="4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  <pageSetUpPr fitToPage="1"/>
  </sheetPr>
  <dimension ref="A1:AJ58"/>
  <sheetViews>
    <sheetView zoomScale="80" zoomScaleNormal="80" workbookViewId="0">
      <selection activeCell="Q23" sqref="Q23"/>
    </sheetView>
  </sheetViews>
  <sheetFormatPr defaultColWidth="10.625" defaultRowHeight="15.75" x14ac:dyDescent="0.25"/>
  <cols>
    <col min="1" max="1" width="7.25" style="21" customWidth="1"/>
    <col min="2" max="2" width="86.5" style="21" customWidth="1"/>
    <col min="3" max="3" width="24.375" style="21" customWidth="1"/>
    <col min="4" max="8" width="5.125" style="21" customWidth="1"/>
    <col min="9" max="9" width="7" style="21" customWidth="1"/>
    <col min="10" max="11" width="5.125" style="21" customWidth="1"/>
    <col min="12" max="12" width="6.25" style="21" customWidth="1"/>
    <col min="13" max="14" width="5.125" style="21" customWidth="1"/>
    <col min="15" max="15" width="6.125" style="21" customWidth="1"/>
    <col min="16" max="16" width="15" style="3" customWidth="1"/>
    <col min="17" max="36" width="10.625" style="3"/>
    <col min="37" max="16384" width="10.625" style="21"/>
  </cols>
  <sheetData>
    <row r="1" spans="1:16" s="3" customFormat="1" x14ac:dyDescent="0.25">
      <c r="A1" s="54" t="s">
        <v>29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6" s="3" customForma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16" s="3" customFormat="1" ht="18.75" x14ac:dyDescent="0.3">
      <c r="A3" s="22"/>
      <c r="B3" s="5" t="s">
        <v>11</v>
      </c>
      <c r="C3" s="29"/>
      <c r="D3" s="56"/>
      <c r="E3" s="57"/>
      <c r="F3" s="58"/>
      <c r="G3" s="56"/>
      <c r="H3" s="57"/>
      <c r="I3" s="58"/>
      <c r="J3" s="56"/>
      <c r="K3" s="57"/>
      <c r="L3" s="58"/>
      <c r="M3" s="56"/>
      <c r="N3" s="57"/>
      <c r="O3" s="58"/>
    </row>
    <row r="4" spans="1:16" s="3" customFormat="1" ht="68.099999999999994" customHeight="1" x14ac:dyDescent="0.25">
      <c r="A4" s="21"/>
      <c r="B4" s="23" t="s">
        <v>18</v>
      </c>
      <c r="C4" s="34" t="s">
        <v>9</v>
      </c>
      <c r="D4" s="59" t="s">
        <v>1</v>
      </c>
      <c r="E4" s="60"/>
      <c r="F4" s="61"/>
      <c r="G4" s="59" t="s">
        <v>2</v>
      </c>
      <c r="H4" s="60"/>
      <c r="I4" s="61"/>
      <c r="J4" s="59" t="s">
        <v>3</v>
      </c>
      <c r="K4" s="60"/>
      <c r="L4" s="61"/>
      <c r="M4" s="59" t="s">
        <v>4</v>
      </c>
      <c r="N4" s="60"/>
      <c r="O4" s="61"/>
    </row>
    <row r="5" spans="1:16" s="3" customFormat="1" ht="24.95" customHeight="1" x14ac:dyDescent="0.25">
      <c r="A5" s="21"/>
      <c r="B5" s="9"/>
      <c r="C5" s="10"/>
      <c r="D5" s="44">
        <v>100</v>
      </c>
      <c r="E5" s="45">
        <v>95</v>
      </c>
      <c r="F5" s="46">
        <v>91</v>
      </c>
      <c r="G5" s="44">
        <v>88</v>
      </c>
      <c r="H5" s="45">
        <v>85</v>
      </c>
      <c r="I5" s="46">
        <v>81</v>
      </c>
      <c r="J5" s="44">
        <v>78</v>
      </c>
      <c r="K5" s="45">
        <v>75</v>
      </c>
      <c r="L5" s="46">
        <v>70</v>
      </c>
      <c r="M5" s="44">
        <v>60</v>
      </c>
      <c r="N5" s="45">
        <v>30</v>
      </c>
      <c r="O5" s="46">
        <v>0</v>
      </c>
      <c r="P5" s="11"/>
    </row>
    <row r="6" spans="1:16" s="3" customFormat="1" ht="23.25" x14ac:dyDescent="0.25">
      <c r="A6" s="65" t="s">
        <v>15</v>
      </c>
      <c r="B6" s="12" t="s">
        <v>20</v>
      </c>
      <c r="C6" s="1"/>
      <c r="D6" s="24"/>
      <c r="E6" s="25"/>
      <c r="F6" s="26"/>
      <c r="G6" s="24"/>
      <c r="H6" s="32"/>
      <c r="I6" s="26"/>
      <c r="J6" s="24"/>
      <c r="K6" s="25"/>
      <c r="L6" s="26"/>
      <c r="M6" s="24"/>
      <c r="N6" s="25"/>
      <c r="O6" s="26"/>
      <c r="P6" s="17" t="str">
        <f t="shared" ref="P6:P18" si="0">IF(COUNTIF(D6:O6,"X")=1,SUMIF(D6:O6,"x",$D$5:$O$5),IF(COUNTIF(D6:O6,"X")=0,"Needs Grading","ERROR"))</f>
        <v>Needs Grading</v>
      </c>
    </row>
    <row r="7" spans="1:16" s="3" customFormat="1" ht="47.25" x14ac:dyDescent="0.25">
      <c r="A7" s="66"/>
      <c r="B7" s="27" t="s">
        <v>37</v>
      </c>
      <c r="C7" s="1"/>
      <c r="D7" s="24"/>
      <c r="E7" s="25"/>
      <c r="F7" s="26"/>
      <c r="G7" s="24"/>
      <c r="H7" s="32"/>
      <c r="I7" s="26"/>
      <c r="J7" s="24"/>
      <c r="K7" s="32"/>
      <c r="L7" s="26"/>
      <c r="M7" s="24"/>
      <c r="N7" s="25"/>
      <c r="O7" s="26"/>
      <c r="P7" s="17" t="str">
        <f t="shared" si="0"/>
        <v>Needs Grading</v>
      </c>
    </row>
    <row r="8" spans="1:16" s="3" customFormat="1" ht="31.5" x14ac:dyDescent="0.25">
      <c r="A8" s="66"/>
      <c r="B8" s="31" t="s">
        <v>21</v>
      </c>
      <c r="C8" s="1"/>
      <c r="D8" s="24"/>
      <c r="E8" s="25"/>
      <c r="F8" s="26"/>
      <c r="G8" s="24"/>
      <c r="H8" s="32"/>
      <c r="I8" s="26"/>
      <c r="J8" s="24"/>
      <c r="K8" s="32"/>
      <c r="L8" s="26"/>
      <c r="M8" s="24"/>
      <c r="N8" s="25"/>
      <c r="O8" s="26"/>
      <c r="P8" s="17" t="str">
        <f t="shared" si="0"/>
        <v>Needs Grading</v>
      </c>
    </row>
    <row r="9" spans="1:16" s="3" customFormat="1" ht="31.5" x14ac:dyDescent="0.25">
      <c r="A9" s="66"/>
      <c r="B9" s="31" t="s">
        <v>42</v>
      </c>
      <c r="C9" s="1"/>
      <c r="D9" s="24"/>
      <c r="E9" s="25"/>
      <c r="F9" s="26"/>
      <c r="G9" s="24"/>
      <c r="H9" s="32"/>
      <c r="I9" s="26"/>
      <c r="J9" s="24"/>
      <c r="K9" s="32"/>
      <c r="L9" s="26"/>
      <c r="M9" s="24"/>
      <c r="N9" s="25"/>
      <c r="O9" s="26"/>
      <c r="P9" s="17" t="str">
        <f t="shared" si="0"/>
        <v>Needs Grading</v>
      </c>
    </row>
    <row r="10" spans="1:16" s="3" customFormat="1" ht="31.5" x14ac:dyDescent="0.25">
      <c r="A10" s="66"/>
      <c r="B10" s="31" t="s">
        <v>43</v>
      </c>
      <c r="C10" s="1"/>
      <c r="D10" s="24"/>
      <c r="E10" s="25"/>
      <c r="F10" s="26"/>
      <c r="G10" s="24"/>
      <c r="H10" s="32"/>
      <c r="I10" s="26"/>
      <c r="J10" s="24"/>
      <c r="K10" s="25"/>
      <c r="L10" s="26"/>
      <c r="M10" s="24"/>
      <c r="N10" s="25"/>
      <c r="O10" s="26"/>
      <c r="P10" s="17" t="str">
        <f t="shared" si="0"/>
        <v>Needs Grading</v>
      </c>
    </row>
    <row r="11" spans="1:16" s="3" customFormat="1" ht="47.25" x14ac:dyDescent="0.25">
      <c r="A11" s="66"/>
      <c r="B11" s="31" t="s">
        <v>44</v>
      </c>
      <c r="C11" s="1"/>
      <c r="D11" s="24"/>
      <c r="E11" s="25"/>
      <c r="F11" s="26"/>
      <c r="G11" s="24"/>
      <c r="H11" s="32"/>
      <c r="I11" s="26"/>
      <c r="J11" s="24"/>
      <c r="K11" s="25"/>
      <c r="L11" s="26"/>
      <c r="M11" s="24"/>
      <c r="N11" s="25"/>
      <c r="O11" s="26"/>
      <c r="P11" s="17" t="str">
        <f t="shared" si="0"/>
        <v>Needs Grading</v>
      </c>
    </row>
    <row r="12" spans="1:16" s="3" customFormat="1" ht="47.25" x14ac:dyDescent="0.25">
      <c r="A12" s="66"/>
      <c r="B12" s="31" t="s">
        <v>45</v>
      </c>
      <c r="C12" s="1"/>
      <c r="D12" s="24"/>
      <c r="E12" s="25"/>
      <c r="F12" s="26"/>
      <c r="G12" s="24"/>
      <c r="H12" s="32"/>
      <c r="I12" s="26"/>
      <c r="J12" s="24"/>
      <c r="K12" s="25"/>
      <c r="L12" s="26"/>
      <c r="M12" s="24"/>
      <c r="N12" s="25"/>
      <c r="O12" s="26"/>
      <c r="P12" s="17" t="str">
        <f t="shared" si="0"/>
        <v>Needs Grading</v>
      </c>
    </row>
    <row r="13" spans="1:16" s="3" customFormat="1" ht="31.5" x14ac:dyDescent="0.25">
      <c r="A13" s="66"/>
      <c r="B13" s="39" t="s">
        <v>46</v>
      </c>
      <c r="C13" s="1"/>
      <c r="D13" s="24"/>
      <c r="E13" s="25"/>
      <c r="F13" s="26"/>
      <c r="G13" s="24"/>
      <c r="H13" s="32"/>
      <c r="I13" s="26"/>
      <c r="J13" s="24"/>
      <c r="K13" s="32"/>
      <c r="L13" s="26"/>
      <c r="M13" s="24"/>
      <c r="N13" s="25"/>
      <c r="O13" s="26"/>
      <c r="P13" s="17" t="str">
        <f t="shared" si="0"/>
        <v>Needs Grading</v>
      </c>
    </row>
    <row r="14" spans="1:16" s="3" customFormat="1" ht="23.25" x14ac:dyDescent="0.25">
      <c r="A14" s="66"/>
      <c r="B14" s="31" t="s">
        <v>47</v>
      </c>
      <c r="C14" s="1"/>
      <c r="D14" s="24"/>
      <c r="E14" s="25"/>
      <c r="F14" s="26"/>
      <c r="G14" s="24"/>
      <c r="H14" s="32"/>
      <c r="I14" s="26"/>
      <c r="J14" s="24"/>
      <c r="K14" s="32"/>
      <c r="L14" s="26"/>
      <c r="M14" s="24"/>
      <c r="N14" s="25"/>
      <c r="O14" s="26"/>
      <c r="P14" s="17" t="str">
        <f t="shared" si="0"/>
        <v>Needs Grading</v>
      </c>
    </row>
    <row r="15" spans="1:16" s="3" customFormat="1" ht="31.5" x14ac:dyDescent="0.25">
      <c r="A15" s="66"/>
      <c r="B15" s="42" t="s">
        <v>39</v>
      </c>
      <c r="C15" s="1"/>
      <c r="D15" s="24"/>
      <c r="E15" s="25"/>
      <c r="F15" s="26"/>
      <c r="G15" s="24"/>
      <c r="H15" s="32"/>
      <c r="I15" s="26"/>
      <c r="J15" s="24"/>
      <c r="K15" s="32"/>
      <c r="L15" s="26"/>
      <c r="M15" s="24"/>
      <c r="N15" s="25"/>
      <c r="O15" s="26"/>
      <c r="P15" s="17" t="str">
        <f t="shared" si="0"/>
        <v>Needs Grading</v>
      </c>
    </row>
    <row r="16" spans="1:16" s="3" customFormat="1" ht="31.5" x14ac:dyDescent="0.25">
      <c r="A16" s="66"/>
      <c r="B16" s="42" t="s">
        <v>38</v>
      </c>
      <c r="C16" s="1"/>
      <c r="D16" s="24"/>
      <c r="E16" s="25"/>
      <c r="F16" s="26"/>
      <c r="G16" s="24"/>
      <c r="H16" s="32"/>
      <c r="I16" s="26"/>
      <c r="J16" s="24"/>
      <c r="K16" s="32"/>
      <c r="L16" s="26"/>
      <c r="M16" s="24"/>
      <c r="N16" s="32"/>
      <c r="O16" s="26"/>
      <c r="P16" s="17" t="str">
        <f t="shared" si="0"/>
        <v>Needs Grading</v>
      </c>
    </row>
    <row r="17" spans="1:16" s="3" customFormat="1" ht="23.25" x14ac:dyDescent="0.25">
      <c r="A17" s="66"/>
      <c r="B17" s="31" t="s">
        <v>50</v>
      </c>
      <c r="C17" s="1"/>
      <c r="D17" s="24"/>
      <c r="E17" s="25"/>
      <c r="F17" s="26"/>
      <c r="G17" s="24"/>
      <c r="H17" s="32"/>
      <c r="I17" s="26"/>
      <c r="J17" s="24"/>
      <c r="K17" s="32"/>
      <c r="L17" s="26"/>
      <c r="M17" s="24"/>
      <c r="N17" s="32"/>
      <c r="O17" s="26"/>
      <c r="P17" s="17" t="str">
        <f t="shared" si="0"/>
        <v>Needs Grading</v>
      </c>
    </row>
    <row r="18" spans="1:16" s="3" customFormat="1" ht="31.5" x14ac:dyDescent="0.25">
      <c r="A18" s="66"/>
      <c r="B18" s="31" t="s">
        <v>48</v>
      </c>
      <c r="C18" s="1"/>
      <c r="D18" s="33"/>
      <c r="E18" s="25"/>
      <c r="F18" s="26"/>
      <c r="G18" s="24"/>
      <c r="H18" s="32"/>
      <c r="I18" s="26"/>
      <c r="J18" s="24"/>
      <c r="K18" s="32"/>
      <c r="L18" s="26"/>
      <c r="M18" s="24"/>
      <c r="N18" s="25"/>
      <c r="O18" s="26"/>
      <c r="P18" s="17" t="str">
        <f t="shared" si="0"/>
        <v>Needs Grading</v>
      </c>
    </row>
    <row r="19" spans="1:16" s="3" customFormat="1" ht="31.5" x14ac:dyDescent="0.25">
      <c r="A19" s="76" t="s">
        <v>16</v>
      </c>
      <c r="B19" s="30" t="s">
        <v>27</v>
      </c>
      <c r="C19" s="47"/>
      <c r="D19" s="48"/>
      <c r="E19" s="48"/>
      <c r="F19" s="49"/>
      <c r="G19" s="50" t="s">
        <v>8</v>
      </c>
      <c r="H19" s="51"/>
      <c r="I19" s="41"/>
      <c r="J19" s="52" t="s">
        <v>41</v>
      </c>
      <c r="K19" s="53"/>
      <c r="L19" s="41"/>
      <c r="M19" s="50" t="s">
        <v>30</v>
      </c>
      <c r="N19" s="51"/>
      <c r="O19" s="41"/>
      <c r="P19" s="40" t="b">
        <f>IF(L19="x",0-0.2,IF(O19="x",-0.5))</f>
        <v>0</v>
      </c>
    </row>
    <row r="20" spans="1:16" s="3" customFormat="1" ht="30.75" customHeight="1" x14ac:dyDescent="0.25">
      <c r="A20" s="77"/>
      <c r="B20" s="30" t="s">
        <v>28</v>
      </c>
      <c r="C20" s="47"/>
      <c r="D20" s="48"/>
      <c r="E20" s="48"/>
      <c r="F20" s="49"/>
      <c r="G20" s="50" t="s">
        <v>8</v>
      </c>
      <c r="H20" s="51"/>
      <c r="I20" s="41"/>
      <c r="J20" s="52" t="s">
        <v>41</v>
      </c>
      <c r="K20" s="53"/>
      <c r="L20" s="41"/>
      <c r="M20" s="50" t="s">
        <v>30</v>
      </c>
      <c r="N20" s="51"/>
      <c r="O20" s="41"/>
      <c r="P20" s="40" t="b">
        <f t="shared" ref="P20:P22" si="1">IF(L20="x",0-0.2,IF(O20="x",-0.5))</f>
        <v>0</v>
      </c>
    </row>
    <row r="21" spans="1:16" s="3" customFormat="1" ht="30.75" customHeight="1" x14ac:dyDescent="0.25">
      <c r="A21" s="77"/>
      <c r="B21" s="30" t="s">
        <v>26</v>
      </c>
      <c r="C21" s="47"/>
      <c r="D21" s="48"/>
      <c r="E21" s="48"/>
      <c r="F21" s="49"/>
      <c r="G21" s="50" t="s">
        <v>8</v>
      </c>
      <c r="H21" s="51"/>
      <c r="I21" s="41"/>
      <c r="J21" s="52" t="s">
        <v>41</v>
      </c>
      <c r="K21" s="53"/>
      <c r="L21" s="41"/>
      <c r="M21" s="50" t="s">
        <v>30</v>
      </c>
      <c r="N21" s="51"/>
      <c r="O21" s="41"/>
      <c r="P21" s="40" t="b">
        <f t="shared" si="1"/>
        <v>0</v>
      </c>
    </row>
    <row r="22" spans="1:16" s="3" customFormat="1" ht="47.25" x14ac:dyDescent="0.25">
      <c r="A22" s="77"/>
      <c r="B22" s="30" t="s">
        <v>49</v>
      </c>
      <c r="C22" s="47"/>
      <c r="D22" s="48"/>
      <c r="E22" s="48"/>
      <c r="F22" s="49"/>
      <c r="G22" s="50" t="s">
        <v>8</v>
      </c>
      <c r="H22" s="51"/>
      <c r="I22" s="41"/>
      <c r="J22" s="52" t="s">
        <v>41</v>
      </c>
      <c r="K22" s="53"/>
      <c r="L22" s="41"/>
      <c r="M22" s="50" t="s">
        <v>30</v>
      </c>
      <c r="N22" s="51"/>
      <c r="O22" s="41"/>
      <c r="P22" s="40" t="b">
        <f t="shared" si="1"/>
        <v>0</v>
      </c>
    </row>
    <row r="23" spans="1:16" s="3" customFormat="1" ht="45.95" customHeight="1" x14ac:dyDescent="0.25">
      <c r="J23" s="67" t="s">
        <v>5</v>
      </c>
      <c r="K23" s="67"/>
      <c r="L23" s="68"/>
      <c r="M23" s="69">
        <f>(AVERAGEA(P6:P18)/10+P22+P19+P20+P21)/10</f>
        <v>0</v>
      </c>
      <c r="N23" s="70"/>
      <c r="O23" s="71"/>
      <c r="P23" s="17" t="str">
        <f>IF(COUNT(P6:P22)=COUNTA(P6:P22),"","Grading Incomplete")</f>
        <v>Grading Incomplete</v>
      </c>
    </row>
    <row r="24" spans="1:16" s="3" customFormat="1" ht="45.95" customHeight="1" x14ac:dyDescent="0.25">
      <c r="J24" s="72" t="s">
        <v>6</v>
      </c>
      <c r="K24" s="72"/>
      <c r="L24" s="72"/>
      <c r="M24" s="73">
        <f>M23*10</f>
        <v>0</v>
      </c>
      <c r="N24" s="74"/>
      <c r="O24" s="75"/>
      <c r="P24" s="17" t="str">
        <f>IF(COUNT(P6:P23)=COUNTA(P10:P23),"","Grading Incomplete")</f>
        <v>Grading Incomplete</v>
      </c>
    </row>
    <row r="25" spans="1:16" s="3" customFormat="1" ht="23.1" customHeight="1" x14ac:dyDescent="0.3">
      <c r="A25" s="19" t="s">
        <v>17</v>
      </c>
      <c r="M25" s="20"/>
      <c r="N25" s="20"/>
      <c r="O25" s="20"/>
    </row>
    <row r="26" spans="1:16" s="3" customFormat="1" ht="104.1" customHeight="1" x14ac:dyDescent="0.25">
      <c r="A26" s="62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4"/>
      <c r="P26" s="28"/>
    </row>
    <row r="27" spans="1:16" s="3" customFormat="1" x14ac:dyDescent="0.25"/>
    <row r="28" spans="1:16" s="3" customFormat="1" x14ac:dyDescent="0.25"/>
    <row r="29" spans="1:16" s="3" customFormat="1" x14ac:dyDescent="0.25"/>
    <row r="30" spans="1:16" s="3" customFormat="1" x14ac:dyDescent="0.25"/>
    <row r="31" spans="1:16" s="3" customFormat="1" x14ac:dyDescent="0.25"/>
    <row r="32" spans="1:16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</sheetData>
  <mergeCells count="32">
    <mergeCell ref="D4:F4"/>
    <mergeCell ref="G4:I4"/>
    <mergeCell ref="J4:L4"/>
    <mergeCell ref="A26:O26"/>
    <mergeCell ref="M4:O4"/>
    <mergeCell ref="A6:A18"/>
    <mergeCell ref="J23:L23"/>
    <mergeCell ref="M23:O23"/>
    <mergeCell ref="J24:L24"/>
    <mergeCell ref="M24:O24"/>
    <mergeCell ref="A19:A22"/>
    <mergeCell ref="C19:F19"/>
    <mergeCell ref="G19:H19"/>
    <mergeCell ref="J19:K19"/>
    <mergeCell ref="M19:N19"/>
    <mergeCell ref="C20:F20"/>
    <mergeCell ref="A1:O2"/>
    <mergeCell ref="D3:F3"/>
    <mergeCell ref="G3:I3"/>
    <mergeCell ref="J3:L3"/>
    <mergeCell ref="M3:O3"/>
    <mergeCell ref="C22:F22"/>
    <mergeCell ref="G22:H22"/>
    <mergeCell ref="J22:K22"/>
    <mergeCell ref="M22:N22"/>
    <mergeCell ref="G20:H20"/>
    <mergeCell ref="J20:K20"/>
    <mergeCell ref="M20:N20"/>
    <mergeCell ref="C21:F21"/>
    <mergeCell ref="G21:H21"/>
    <mergeCell ref="J21:K21"/>
    <mergeCell ref="M21:N21"/>
  </mergeCells>
  <pageMargins left="0.5" right="0.5" top="0.5" bottom="0.5" header="0.5" footer="0.5"/>
  <pageSetup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49"/>
  <sheetViews>
    <sheetView tabSelected="1" zoomScale="85" zoomScaleNormal="85" zoomScalePageLayoutView="85" workbookViewId="0">
      <selection activeCell="B11" sqref="B11"/>
    </sheetView>
  </sheetViews>
  <sheetFormatPr defaultColWidth="10.625" defaultRowHeight="18.75" x14ac:dyDescent="0.3"/>
  <cols>
    <col min="1" max="1" width="6.875" style="6" customWidth="1"/>
    <col min="2" max="2" width="56.75" style="21" customWidth="1"/>
    <col min="3" max="3" width="23.875" style="21" customWidth="1"/>
    <col min="4" max="11" width="4.625" style="21" customWidth="1"/>
    <col min="12" max="12" width="5.25" style="21" customWidth="1"/>
    <col min="13" max="15" width="4.625" style="21" customWidth="1"/>
    <col min="16" max="16" width="11.125" style="3" bestFit="1" customWidth="1"/>
    <col min="17" max="37" width="10.625" style="3"/>
    <col min="38" max="16384" width="10.625" style="21"/>
  </cols>
  <sheetData>
    <row r="1" spans="1:17" ht="15.75" x14ac:dyDescent="0.25">
      <c r="A1" s="54" t="s">
        <v>32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7" ht="15.75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17" x14ac:dyDescent="0.3">
      <c r="A3" s="4"/>
      <c r="B3" s="5" t="s">
        <v>11</v>
      </c>
      <c r="C3" s="82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4"/>
    </row>
    <row r="4" spans="1:17" ht="78.95" customHeight="1" x14ac:dyDescent="0.3">
      <c r="B4" s="7" t="s">
        <v>0</v>
      </c>
      <c r="C4" s="8" t="s">
        <v>9</v>
      </c>
      <c r="D4" s="59" t="s">
        <v>1</v>
      </c>
      <c r="E4" s="60"/>
      <c r="F4" s="61"/>
      <c r="G4" s="59" t="s">
        <v>2</v>
      </c>
      <c r="H4" s="60"/>
      <c r="I4" s="61"/>
      <c r="J4" s="59" t="s">
        <v>3</v>
      </c>
      <c r="K4" s="60"/>
      <c r="L4" s="61"/>
      <c r="M4" s="59" t="s">
        <v>4</v>
      </c>
      <c r="N4" s="60"/>
      <c r="O4" s="61"/>
    </row>
    <row r="5" spans="1:17" ht="24.95" customHeight="1" x14ac:dyDescent="0.3">
      <c r="B5" s="9"/>
      <c r="C5" s="10"/>
      <c r="D5" s="44">
        <v>100</v>
      </c>
      <c r="E5" s="45">
        <v>95</v>
      </c>
      <c r="F5" s="46">
        <v>91</v>
      </c>
      <c r="G5" s="44">
        <v>88</v>
      </c>
      <c r="H5" s="45">
        <v>85</v>
      </c>
      <c r="I5" s="46">
        <v>81</v>
      </c>
      <c r="J5" s="44">
        <v>78</v>
      </c>
      <c r="K5" s="45">
        <v>75</v>
      </c>
      <c r="L5" s="46">
        <v>70</v>
      </c>
      <c r="M5" s="44">
        <v>60</v>
      </c>
      <c r="N5" s="45">
        <v>30</v>
      </c>
      <c r="O5" s="46">
        <v>0</v>
      </c>
      <c r="P5" s="11"/>
    </row>
    <row r="6" spans="1:17" ht="32.1" customHeight="1" x14ac:dyDescent="0.25">
      <c r="A6" s="85" t="s">
        <v>12</v>
      </c>
      <c r="B6" s="12" t="s">
        <v>13</v>
      </c>
      <c r="C6" s="13"/>
      <c r="D6" s="14"/>
      <c r="E6" s="15"/>
      <c r="F6" s="16"/>
      <c r="G6" s="14"/>
      <c r="H6" s="15"/>
      <c r="I6" s="16"/>
      <c r="J6" s="14"/>
      <c r="K6" s="15"/>
      <c r="L6" s="16"/>
      <c r="M6" s="14"/>
      <c r="N6" s="15"/>
      <c r="O6" s="16"/>
      <c r="P6" s="17" t="str">
        <f>IF(COUNTIF(D6:O6,"X")=1,SUMIF(D6:O6,"x",$D$5:$O$5),IF(COUNTIF(D6:O6,"X")=0,"Needs Grading","ERROR"))</f>
        <v>Needs Grading</v>
      </c>
      <c r="Q6" s="17"/>
    </row>
    <row r="7" spans="1:17" ht="32.1" customHeight="1" x14ac:dyDescent="0.25">
      <c r="A7" s="86"/>
      <c r="B7" s="12" t="s">
        <v>34</v>
      </c>
      <c r="C7" s="13"/>
      <c r="D7" s="14"/>
      <c r="E7" s="15"/>
      <c r="F7" s="16"/>
      <c r="G7" s="14"/>
      <c r="H7" s="15"/>
      <c r="I7" s="16"/>
      <c r="J7" s="14"/>
      <c r="K7" s="15"/>
      <c r="L7" s="16"/>
      <c r="M7" s="14"/>
      <c r="N7" s="15"/>
      <c r="O7" s="16"/>
      <c r="P7" s="17" t="str">
        <f t="shared" ref="P7:P10" si="0">IF(COUNTIF(D7:O7,"X")=1,SUMIF(D7:O7,"x",$D$5:$O$5),IF(COUNTIF(D7:O7,"X")=0,"Needs Grading","ERROR"))</f>
        <v>Needs Grading</v>
      </c>
      <c r="Q7" s="17"/>
    </row>
    <row r="8" spans="1:17" ht="32.1" customHeight="1" x14ac:dyDescent="0.25">
      <c r="A8" s="86"/>
      <c r="B8" s="12" t="s">
        <v>35</v>
      </c>
      <c r="C8" s="13"/>
      <c r="D8" s="14"/>
      <c r="E8" s="15"/>
      <c r="F8" s="16"/>
      <c r="G8" s="14"/>
      <c r="H8" s="15"/>
      <c r="I8" s="16"/>
      <c r="J8" s="14"/>
      <c r="K8" s="15"/>
      <c r="L8" s="16"/>
      <c r="M8" s="14"/>
      <c r="N8" s="15"/>
      <c r="O8" s="16"/>
      <c r="P8" s="17" t="str">
        <f t="shared" si="0"/>
        <v>Needs Grading</v>
      </c>
      <c r="Q8" s="17"/>
    </row>
    <row r="9" spans="1:17" ht="29.45" customHeight="1" x14ac:dyDescent="0.25">
      <c r="A9" s="86"/>
      <c r="B9" s="12" t="s">
        <v>55</v>
      </c>
      <c r="C9" s="13"/>
      <c r="D9" s="14"/>
      <c r="E9" s="35"/>
      <c r="F9" s="16"/>
      <c r="G9" s="14"/>
      <c r="H9" s="15"/>
      <c r="I9" s="16"/>
      <c r="J9" s="14"/>
      <c r="K9" s="15"/>
      <c r="L9" s="16"/>
      <c r="M9" s="14"/>
      <c r="N9" s="15"/>
      <c r="O9" s="16"/>
      <c r="P9" s="17" t="str">
        <f t="shared" si="0"/>
        <v>Needs Grading</v>
      </c>
      <c r="Q9" s="17"/>
    </row>
    <row r="10" spans="1:17" s="3" customFormat="1" ht="24" customHeight="1" x14ac:dyDescent="0.25">
      <c r="A10" s="86"/>
      <c r="B10" s="12" t="s">
        <v>23</v>
      </c>
      <c r="C10" s="13"/>
      <c r="D10" s="14"/>
      <c r="E10" s="15"/>
      <c r="F10" s="16"/>
      <c r="G10" s="14"/>
      <c r="H10" s="15"/>
      <c r="I10" s="16"/>
      <c r="J10" s="14"/>
      <c r="K10" s="15"/>
      <c r="L10" s="16"/>
      <c r="M10" s="14"/>
      <c r="N10" s="15"/>
      <c r="O10" s="16"/>
      <c r="P10" s="17" t="str">
        <f t="shared" si="0"/>
        <v>Needs Grading</v>
      </c>
      <c r="Q10" s="17"/>
    </row>
    <row r="11" spans="1:17" s="3" customFormat="1" ht="33.75" customHeight="1" x14ac:dyDescent="0.25">
      <c r="A11" s="94" t="s">
        <v>24</v>
      </c>
      <c r="B11" s="18" t="s">
        <v>22</v>
      </c>
      <c r="C11" s="47"/>
      <c r="D11" s="48"/>
      <c r="E11" s="48"/>
      <c r="F11" s="49"/>
      <c r="G11" s="80" t="s">
        <v>8</v>
      </c>
      <c r="H11" s="81"/>
      <c r="I11" s="41"/>
      <c r="J11" s="78" t="s">
        <v>40</v>
      </c>
      <c r="K11" s="79"/>
      <c r="L11" s="41"/>
      <c r="M11" s="80" t="s">
        <v>31</v>
      </c>
      <c r="N11" s="81"/>
      <c r="O11" s="41"/>
      <c r="P11" s="40" t="b">
        <f t="shared" ref="P11:P13" si="1">IF(L11="x",0-0.2,IF(O11="x",-0.5))</f>
        <v>0</v>
      </c>
      <c r="Q11" s="17"/>
    </row>
    <row r="12" spans="1:17" s="3" customFormat="1" ht="33" customHeight="1" x14ac:dyDescent="0.25">
      <c r="A12" s="95"/>
      <c r="B12" s="18" t="s">
        <v>14</v>
      </c>
      <c r="C12" s="47"/>
      <c r="D12" s="48"/>
      <c r="E12" s="48"/>
      <c r="F12" s="49"/>
      <c r="G12" s="80" t="s">
        <v>8</v>
      </c>
      <c r="H12" s="81"/>
      <c r="I12" s="41"/>
      <c r="J12" s="78" t="s">
        <v>40</v>
      </c>
      <c r="K12" s="79"/>
      <c r="L12" s="41"/>
      <c r="M12" s="80" t="s">
        <v>31</v>
      </c>
      <c r="N12" s="81"/>
      <c r="O12" s="41"/>
      <c r="P12" s="40" t="b">
        <f t="shared" si="1"/>
        <v>0</v>
      </c>
      <c r="Q12" s="17"/>
    </row>
    <row r="13" spans="1:17" s="3" customFormat="1" ht="31.5" customHeight="1" x14ac:dyDescent="0.25">
      <c r="A13" s="95"/>
      <c r="B13" s="30" t="s">
        <v>25</v>
      </c>
      <c r="C13" s="47"/>
      <c r="D13" s="48"/>
      <c r="E13" s="48"/>
      <c r="F13" s="49"/>
      <c r="G13" s="80" t="s">
        <v>8</v>
      </c>
      <c r="H13" s="81"/>
      <c r="I13" s="41"/>
      <c r="J13" s="78" t="s">
        <v>40</v>
      </c>
      <c r="K13" s="79"/>
      <c r="L13" s="41"/>
      <c r="M13" s="80" t="s">
        <v>31</v>
      </c>
      <c r="N13" s="81"/>
      <c r="O13" s="41"/>
      <c r="P13" s="40" t="b">
        <f t="shared" si="1"/>
        <v>0</v>
      </c>
      <c r="Q13" s="17"/>
    </row>
    <row r="14" spans="1:17" s="3" customFormat="1" ht="36.950000000000003" customHeight="1" x14ac:dyDescent="0.3">
      <c r="A14" s="2"/>
      <c r="J14" s="67" t="s">
        <v>5</v>
      </c>
      <c r="K14" s="67"/>
      <c r="L14" s="68"/>
      <c r="M14" s="69">
        <f>(AVERAGEA(P5:P10)/10+P11+P12+P13)/10</f>
        <v>0</v>
      </c>
      <c r="N14" s="70"/>
      <c r="O14" s="71"/>
      <c r="P14" s="17" t="str">
        <f>IF(COUNT(P6:P13)=COUNTA(P6:P13),"","Grading Incomplete")</f>
        <v>Grading Incomplete</v>
      </c>
    </row>
    <row r="15" spans="1:17" s="3" customFormat="1" ht="33.950000000000003" customHeight="1" x14ac:dyDescent="0.3">
      <c r="A15" s="2"/>
      <c r="J15" s="72" t="s">
        <v>6</v>
      </c>
      <c r="K15" s="72"/>
      <c r="L15" s="90"/>
      <c r="M15" s="91">
        <f>M14*5</f>
        <v>0</v>
      </c>
      <c r="N15" s="92"/>
      <c r="O15" s="93"/>
      <c r="P15" s="17"/>
    </row>
    <row r="16" spans="1:17" s="3" customFormat="1" ht="23.1" customHeight="1" x14ac:dyDescent="0.3">
      <c r="A16" s="19" t="s">
        <v>10</v>
      </c>
      <c r="M16" s="20"/>
      <c r="N16" s="20"/>
      <c r="O16" s="20"/>
    </row>
    <row r="17" spans="1:15" s="3" customFormat="1" ht="69.95" customHeight="1" x14ac:dyDescent="0.25">
      <c r="A17" s="87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9"/>
    </row>
    <row r="18" spans="1:15" s="3" customFormat="1" x14ac:dyDescent="0.3">
      <c r="A18" s="2"/>
    </row>
    <row r="19" spans="1:15" s="3" customFormat="1" x14ac:dyDescent="0.3">
      <c r="A19" s="2"/>
    </row>
    <row r="20" spans="1:15" s="3" customFormat="1" x14ac:dyDescent="0.3">
      <c r="A20" s="2"/>
    </row>
    <row r="21" spans="1:15" s="3" customFormat="1" x14ac:dyDescent="0.3">
      <c r="A21" s="2"/>
    </row>
    <row r="22" spans="1:15" s="3" customFormat="1" x14ac:dyDescent="0.3">
      <c r="A22" s="2"/>
    </row>
    <row r="23" spans="1:15" s="3" customFormat="1" x14ac:dyDescent="0.3">
      <c r="A23" s="2"/>
    </row>
    <row r="24" spans="1:15" s="3" customFormat="1" x14ac:dyDescent="0.3">
      <c r="A24" s="2"/>
    </row>
    <row r="25" spans="1:15" s="3" customFormat="1" x14ac:dyDescent="0.3">
      <c r="A25" s="2"/>
    </row>
    <row r="26" spans="1:15" s="3" customFormat="1" x14ac:dyDescent="0.3">
      <c r="A26" s="2"/>
    </row>
    <row r="27" spans="1:15" s="3" customFormat="1" x14ac:dyDescent="0.3">
      <c r="A27" s="2"/>
    </row>
    <row r="28" spans="1:15" s="3" customFormat="1" x14ac:dyDescent="0.3">
      <c r="A28" s="2"/>
    </row>
    <row r="29" spans="1:15" s="3" customFormat="1" x14ac:dyDescent="0.3">
      <c r="A29" s="2"/>
    </row>
    <row r="30" spans="1:15" s="3" customFormat="1" x14ac:dyDescent="0.3">
      <c r="A30" s="2"/>
    </row>
    <row r="31" spans="1:15" s="3" customFormat="1" x14ac:dyDescent="0.3">
      <c r="A31" s="2"/>
    </row>
    <row r="32" spans="1:15" s="3" customFormat="1" x14ac:dyDescent="0.3">
      <c r="A32" s="2"/>
    </row>
    <row r="33" spans="1:1" s="3" customFormat="1" x14ac:dyDescent="0.3">
      <c r="A33" s="2"/>
    </row>
    <row r="34" spans="1:1" s="3" customFormat="1" x14ac:dyDescent="0.3">
      <c r="A34" s="2"/>
    </row>
    <row r="35" spans="1:1" s="3" customFormat="1" x14ac:dyDescent="0.3">
      <c r="A35" s="2"/>
    </row>
    <row r="36" spans="1:1" s="3" customFormat="1" x14ac:dyDescent="0.3">
      <c r="A36" s="2"/>
    </row>
    <row r="37" spans="1:1" s="3" customFormat="1" x14ac:dyDescent="0.3">
      <c r="A37" s="2"/>
    </row>
    <row r="38" spans="1:1" s="3" customFormat="1" x14ac:dyDescent="0.3">
      <c r="A38" s="2"/>
    </row>
    <row r="39" spans="1:1" s="3" customFormat="1" x14ac:dyDescent="0.3">
      <c r="A39" s="2"/>
    </row>
    <row r="40" spans="1:1" s="3" customFormat="1" x14ac:dyDescent="0.3">
      <c r="A40" s="2"/>
    </row>
    <row r="41" spans="1:1" s="3" customFormat="1" x14ac:dyDescent="0.3">
      <c r="A41" s="2"/>
    </row>
    <row r="42" spans="1:1" s="3" customFormat="1" x14ac:dyDescent="0.3">
      <c r="A42" s="2"/>
    </row>
    <row r="43" spans="1:1" s="3" customFormat="1" x14ac:dyDescent="0.3">
      <c r="A43" s="2"/>
    </row>
    <row r="44" spans="1:1" s="3" customFormat="1" x14ac:dyDescent="0.3">
      <c r="A44" s="2"/>
    </row>
    <row r="45" spans="1:1" s="3" customFormat="1" x14ac:dyDescent="0.3">
      <c r="A45" s="2"/>
    </row>
    <row r="46" spans="1:1" s="3" customFormat="1" x14ac:dyDescent="0.3">
      <c r="A46" s="2"/>
    </row>
    <row r="47" spans="1:1" s="3" customFormat="1" x14ac:dyDescent="0.3">
      <c r="A47" s="2"/>
    </row>
    <row r="48" spans="1:1" s="3" customFormat="1" x14ac:dyDescent="0.3">
      <c r="A48" s="2"/>
    </row>
    <row r="49" spans="1:1" s="3" customFormat="1" x14ac:dyDescent="0.3">
      <c r="A49" s="2"/>
    </row>
  </sheetData>
  <mergeCells count="25">
    <mergeCell ref="J12:K12"/>
    <mergeCell ref="M12:N12"/>
    <mergeCell ref="C13:F13"/>
    <mergeCell ref="G13:H13"/>
    <mergeCell ref="A17:O17"/>
    <mergeCell ref="J14:L14"/>
    <mergeCell ref="M14:O14"/>
    <mergeCell ref="J15:L15"/>
    <mergeCell ref="M15:O15"/>
    <mergeCell ref="J13:K13"/>
    <mergeCell ref="M13:N13"/>
    <mergeCell ref="A1:O2"/>
    <mergeCell ref="C3:O3"/>
    <mergeCell ref="A6:A10"/>
    <mergeCell ref="D4:F4"/>
    <mergeCell ref="G4:I4"/>
    <mergeCell ref="J4:L4"/>
    <mergeCell ref="M4:O4"/>
    <mergeCell ref="C11:F11"/>
    <mergeCell ref="G11:H11"/>
    <mergeCell ref="J11:K11"/>
    <mergeCell ref="M11:N11"/>
    <mergeCell ref="A11:A13"/>
    <mergeCell ref="C12:F12"/>
    <mergeCell ref="G12:H12"/>
  </mergeCells>
  <pageMargins left="0.5" right="0.5" top="0.5" bottom="0.5" header="0.5" footer="0.5"/>
  <pageSetup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46"/>
  <sheetViews>
    <sheetView topLeftCell="A2" zoomScale="85" zoomScaleNormal="85" zoomScalePageLayoutView="85" workbookViewId="0">
      <selection activeCell="B12" sqref="B12"/>
    </sheetView>
  </sheetViews>
  <sheetFormatPr defaultColWidth="10.625" defaultRowHeight="18.75" x14ac:dyDescent="0.3"/>
  <cols>
    <col min="1" max="1" width="6.875" style="6" customWidth="1"/>
    <col min="2" max="2" width="56.75" style="21" customWidth="1"/>
    <col min="3" max="3" width="23.875" style="21" customWidth="1"/>
    <col min="4" max="11" width="4.625" style="21" customWidth="1"/>
    <col min="12" max="12" width="5.25" style="21" customWidth="1"/>
    <col min="13" max="15" width="4.625" style="21" customWidth="1"/>
    <col min="16" max="16" width="11.125" style="3" bestFit="1" customWidth="1"/>
    <col min="17" max="37" width="10.625" style="3"/>
    <col min="38" max="16384" width="10.625" style="21"/>
  </cols>
  <sheetData>
    <row r="1" spans="1:17" s="3" customFormat="1" ht="15.75" x14ac:dyDescent="0.25">
      <c r="A1" s="54" t="s">
        <v>33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7" s="3" customFormat="1" ht="15.75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17" s="3" customFormat="1" x14ac:dyDescent="0.3">
      <c r="A3" s="4"/>
      <c r="B3" s="5" t="s">
        <v>11</v>
      </c>
      <c r="C3" s="82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4"/>
    </row>
    <row r="4" spans="1:17" s="3" customFormat="1" ht="78.95" customHeight="1" x14ac:dyDescent="0.3">
      <c r="A4" s="6"/>
      <c r="B4" s="7" t="s">
        <v>0</v>
      </c>
      <c r="C4" s="8" t="s">
        <v>9</v>
      </c>
      <c r="D4" s="59" t="s">
        <v>1</v>
      </c>
      <c r="E4" s="60"/>
      <c r="F4" s="61"/>
      <c r="G4" s="59" t="s">
        <v>2</v>
      </c>
      <c r="H4" s="60"/>
      <c r="I4" s="61"/>
      <c r="J4" s="59" t="s">
        <v>3</v>
      </c>
      <c r="K4" s="60"/>
      <c r="L4" s="61"/>
      <c r="M4" s="59" t="s">
        <v>4</v>
      </c>
      <c r="N4" s="60"/>
      <c r="O4" s="61"/>
    </row>
    <row r="5" spans="1:17" s="3" customFormat="1" ht="24.95" customHeight="1" x14ac:dyDescent="0.3">
      <c r="A5" s="6"/>
      <c r="B5" s="9"/>
      <c r="C5" s="10"/>
      <c r="D5" s="44">
        <v>100</v>
      </c>
      <c r="E5" s="45">
        <v>95</v>
      </c>
      <c r="F5" s="46">
        <v>91</v>
      </c>
      <c r="G5" s="44">
        <v>88</v>
      </c>
      <c r="H5" s="45">
        <v>85</v>
      </c>
      <c r="I5" s="46">
        <v>81</v>
      </c>
      <c r="J5" s="44">
        <v>78</v>
      </c>
      <c r="K5" s="45">
        <v>75</v>
      </c>
      <c r="L5" s="46">
        <v>70</v>
      </c>
      <c r="M5" s="44">
        <v>60</v>
      </c>
      <c r="N5" s="45">
        <v>30</v>
      </c>
      <c r="O5" s="46">
        <v>0</v>
      </c>
      <c r="P5" s="11"/>
    </row>
    <row r="6" spans="1:17" s="3" customFormat="1" ht="36.4" customHeight="1" x14ac:dyDescent="0.25">
      <c r="A6" s="98" t="s">
        <v>19</v>
      </c>
      <c r="B6" s="12" t="s">
        <v>36</v>
      </c>
      <c r="C6" s="13"/>
      <c r="D6" s="43" t="s">
        <v>7</v>
      </c>
      <c r="E6" s="37"/>
      <c r="F6" s="38"/>
      <c r="G6" s="36"/>
      <c r="H6" s="35"/>
      <c r="I6" s="38"/>
      <c r="J6" s="36"/>
      <c r="K6" s="37"/>
      <c r="L6" s="38"/>
      <c r="M6" s="36"/>
      <c r="N6" s="37"/>
      <c r="O6" s="38"/>
      <c r="P6" s="17">
        <f>IF(COUNTIF(D6:O6,"X")=1,SUMIF(D6:O6,"x",$D$5:$O$5),IF(COUNTIF(D6:O6,"X")=0,"Needs Grading","ERROR"))</f>
        <v>100</v>
      </c>
      <c r="Q6" s="17"/>
    </row>
    <row r="7" spans="1:17" s="3" customFormat="1" ht="36.4" customHeight="1" x14ac:dyDescent="0.25">
      <c r="A7" s="99"/>
      <c r="B7" s="31" t="s">
        <v>51</v>
      </c>
      <c r="C7" s="13"/>
      <c r="D7" s="36"/>
      <c r="E7" s="37"/>
      <c r="F7" s="38"/>
      <c r="G7" s="36"/>
      <c r="H7" s="35"/>
      <c r="I7" s="38"/>
      <c r="J7" s="36"/>
      <c r="K7" s="35"/>
      <c r="L7" s="38"/>
      <c r="M7" s="36"/>
      <c r="N7" s="37"/>
      <c r="O7" s="41" t="s">
        <v>7</v>
      </c>
      <c r="P7" s="17">
        <f>IF(COUNTIF(D7:O7,"X")=1,SUMIF(D7:O7,"x",$D$5:$O$5),IF(COUNTIF(D7:O7,"X")=0,"Needs Grading","ERROR"))</f>
        <v>0</v>
      </c>
      <c r="Q7" s="17"/>
    </row>
    <row r="8" spans="1:17" s="3" customFormat="1" ht="36.4" customHeight="1" x14ac:dyDescent="0.25">
      <c r="A8" s="99"/>
      <c r="B8" s="12" t="s">
        <v>52</v>
      </c>
      <c r="C8" s="13"/>
      <c r="D8" s="43" t="s">
        <v>7</v>
      </c>
      <c r="E8" s="37"/>
      <c r="F8" s="38"/>
      <c r="G8" s="36"/>
      <c r="H8" s="35"/>
      <c r="I8" s="38"/>
      <c r="J8" s="36"/>
      <c r="K8" s="37"/>
      <c r="L8" s="38"/>
      <c r="M8" s="36"/>
      <c r="N8" s="37"/>
      <c r="O8" s="38"/>
      <c r="P8" s="17">
        <f>IF(COUNTIF(D8:O8,"X")=1,SUMIF(D8:O8,"x",$D$5:$O$5),IF(COUNTIF(D8:O8,"X")=0,"Needs Grading","ERROR"))</f>
        <v>100</v>
      </c>
      <c r="Q8" s="17"/>
    </row>
    <row r="9" spans="1:17" s="3" customFormat="1" ht="36.4" customHeight="1" x14ac:dyDescent="0.25">
      <c r="A9" s="96" t="s">
        <v>24</v>
      </c>
      <c r="B9" s="18" t="s">
        <v>53</v>
      </c>
      <c r="C9" s="47"/>
      <c r="D9" s="48"/>
      <c r="E9" s="48"/>
      <c r="F9" s="49"/>
      <c r="G9" s="80" t="s">
        <v>8</v>
      </c>
      <c r="H9" s="81"/>
      <c r="I9" s="41"/>
      <c r="J9" s="78" t="s">
        <v>40</v>
      </c>
      <c r="K9" s="79"/>
      <c r="L9" s="41"/>
      <c r="M9" s="80" t="s">
        <v>31</v>
      </c>
      <c r="N9" s="81"/>
      <c r="O9" s="41"/>
      <c r="P9" s="40" t="b">
        <f t="shared" ref="P9" si="0">IF(L9="x",0-0.2,IF(O9="x",-0.5))</f>
        <v>0</v>
      </c>
      <c r="Q9" s="17"/>
    </row>
    <row r="10" spans="1:17" s="3" customFormat="1" ht="36.4" customHeight="1" x14ac:dyDescent="0.25">
      <c r="A10" s="97"/>
      <c r="B10" s="18" t="s">
        <v>54</v>
      </c>
      <c r="C10" s="47"/>
      <c r="D10" s="48"/>
      <c r="E10" s="48"/>
      <c r="F10" s="49"/>
      <c r="G10" s="80" t="s">
        <v>8</v>
      </c>
      <c r="H10" s="81"/>
      <c r="I10" s="41"/>
      <c r="J10" s="78" t="s">
        <v>40</v>
      </c>
      <c r="K10" s="79"/>
      <c r="L10" s="41"/>
      <c r="M10" s="80" t="s">
        <v>31</v>
      </c>
      <c r="N10" s="81"/>
      <c r="O10" s="41"/>
      <c r="P10" s="40" t="b">
        <f t="shared" ref="P10" si="1">IF(L10="x",0-0.2,IF(O10="x",-0.5))</f>
        <v>0</v>
      </c>
      <c r="Q10" s="17"/>
    </row>
    <row r="11" spans="1:17" s="3" customFormat="1" ht="36.950000000000003" customHeight="1" x14ac:dyDescent="0.3">
      <c r="A11" s="2"/>
      <c r="J11" s="67" t="s">
        <v>5</v>
      </c>
      <c r="K11" s="67"/>
      <c r="L11" s="68"/>
      <c r="M11" s="69">
        <f>(AVERAGEA(P5:P8)/10+P9+P10)/10</f>
        <v>0.66666666666666674</v>
      </c>
      <c r="N11" s="70"/>
      <c r="O11" s="71"/>
      <c r="P11" s="17" t="str">
        <f>IF(COUNT(P6:P10)=COUNTA(P6:P10),"","Grading Incomplete")</f>
        <v>Grading Incomplete</v>
      </c>
    </row>
    <row r="12" spans="1:17" s="3" customFormat="1" ht="33.950000000000003" customHeight="1" x14ac:dyDescent="0.3">
      <c r="A12" s="2"/>
      <c r="J12" s="72" t="s">
        <v>6</v>
      </c>
      <c r="K12" s="72"/>
      <c r="L12" s="90"/>
      <c r="M12" s="91">
        <f>M11*5</f>
        <v>3.3333333333333339</v>
      </c>
      <c r="N12" s="92"/>
      <c r="O12" s="93"/>
      <c r="P12" s="17"/>
    </row>
    <row r="13" spans="1:17" s="3" customFormat="1" ht="23.1" customHeight="1" x14ac:dyDescent="0.3">
      <c r="A13" s="19" t="s">
        <v>10</v>
      </c>
      <c r="M13" s="20"/>
      <c r="N13" s="20"/>
      <c r="O13" s="20"/>
    </row>
    <row r="14" spans="1:17" s="3" customFormat="1" ht="69.95" customHeight="1" x14ac:dyDescent="0.25">
      <c r="A14" s="87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9"/>
    </row>
    <row r="15" spans="1:17" s="3" customFormat="1" x14ac:dyDescent="0.3">
      <c r="A15" s="2"/>
    </row>
    <row r="16" spans="1:17" s="3" customFormat="1" x14ac:dyDescent="0.3">
      <c r="A16" s="2"/>
    </row>
    <row r="17" spans="1:1" s="3" customFormat="1" x14ac:dyDescent="0.3">
      <c r="A17" s="2"/>
    </row>
    <row r="18" spans="1:1" s="3" customFormat="1" x14ac:dyDescent="0.3">
      <c r="A18" s="2"/>
    </row>
    <row r="19" spans="1:1" s="3" customFormat="1" x14ac:dyDescent="0.3">
      <c r="A19" s="2"/>
    </row>
    <row r="20" spans="1:1" s="3" customFormat="1" x14ac:dyDescent="0.3">
      <c r="A20" s="2"/>
    </row>
    <row r="21" spans="1:1" s="3" customFormat="1" x14ac:dyDescent="0.3">
      <c r="A21" s="2"/>
    </row>
    <row r="22" spans="1:1" s="3" customFormat="1" x14ac:dyDescent="0.3">
      <c r="A22" s="2"/>
    </row>
    <row r="23" spans="1:1" s="3" customFormat="1" x14ac:dyDescent="0.3">
      <c r="A23" s="2"/>
    </row>
    <row r="24" spans="1:1" s="3" customFormat="1" x14ac:dyDescent="0.3">
      <c r="A24" s="2"/>
    </row>
    <row r="25" spans="1:1" s="3" customFormat="1" x14ac:dyDescent="0.3">
      <c r="A25" s="2"/>
    </row>
    <row r="26" spans="1:1" s="3" customFormat="1" x14ac:dyDescent="0.3">
      <c r="A26" s="2"/>
    </row>
    <row r="27" spans="1:1" s="3" customFormat="1" x14ac:dyDescent="0.3">
      <c r="A27" s="2"/>
    </row>
    <row r="28" spans="1:1" s="3" customFormat="1" x14ac:dyDescent="0.3">
      <c r="A28" s="2"/>
    </row>
    <row r="29" spans="1:1" s="3" customFormat="1" x14ac:dyDescent="0.3">
      <c r="A29" s="2"/>
    </row>
    <row r="30" spans="1:1" s="3" customFormat="1" x14ac:dyDescent="0.3">
      <c r="A30" s="2"/>
    </row>
    <row r="31" spans="1:1" s="3" customFormat="1" x14ac:dyDescent="0.3">
      <c r="A31" s="2"/>
    </row>
    <row r="32" spans="1:1" s="3" customFormat="1" x14ac:dyDescent="0.3">
      <c r="A32" s="2"/>
    </row>
    <row r="33" spans="1:1" s="3" customFormat="1" x14ac:dyDescent="0.3">
      <c r="A33" s="2"/>
    </row>
    <row r="34" spans="1:1" s="3" customFormat="1" x14ac:dyDescent="0.3">
      <c r="A34" s="2"/>
    </row>
    <row r="35" spans="1:1" s="3" customFormat="1" x14ac:dyDescent="0.3">
      <c r="A35" s="2"/>
    </row>
    <row r="36" spans="1:1" s="3" customFormat="1" x14ac:dyDescent="0.3">
      <c r="A36" s="2"/>
    </row>
    <row r="37" spans="1:1" s="3" customFormat="1" x14ac:dyDescent="0.3">
      <c r="A37" s="2"/>
    </row>
    <row r="38" spans="1:1" s="3" customFormat="1" x14ac:dyDescent="0.3">
      <c r="A38" s="2"/>
    </row>
    <row r="39" spans="1:1" s="3" customFormat="1" x14ac:dyDescent="0.3">
      <c r="A39" s="2"/>
    </row>
    <row r="40" spans="1:1" s="3" customFormat="1" x14ac:dyDescent="0.3">
      <c r="A40" s="2"/>
    </row>
    <row r="41" spans="1:1" s="3" customFormat="1" x14ac:dyDescent="0.3">
      <c r="A41" s="2"/>
    </row>
    <row r="42" spans="1:1" s="3" customFormat="1" x14ac:dyDescent="0.3">
      <c r="A42" s="2"/>
    </row>
    <row r="43" spans="1:1" s="3" customFormat="1" x14ac:dyDescent="0.3">
      <c r="A43" s="2"/>
    </row>
    <row r="44" spans="1:1" s="3" customFormat="1" x14ac:dyDescent="0.3">
      <c r="A44" s="2"/>
    </row>
    <row r="45" spans="1:1" s="3" customFormat="1" x14ac:dyDescent="0.3">
      <c r="A45" s="2"/>
    </row>
    <row r="46" spans="1:1" s="3" customFormat="1" x14ac:dyDescent="0.3">
      <c r="A46" s="2"/>
    </row>
  </sheetData>
  <mergeCells count="21">
    <mergeCell ref="A1:O2"/>
    <mergeCell ref="C3:O3"/>
    <mergeCell ref="D4:F4"/>
    <mergeCell ref="G4:I4"/>
    <mergeCell ref="J4:L4"/>
    <mergeCell ref="M4:O4"/>
    <mergeCell ref="A6:A8"/>
    <mergeCell ref="C9:F9"/>
    <mergeCell ref="G9:H9"/>
    <mergeCell ref="J9:K9"/>
    <mergeCell ref="M9:N9"/>
    <mergeCell ref="A14:O14"/>
    <mergeCell ref="J12:L12"/>
    <mergeCell ref="M12:O12"/>
    <mergeCell ref="A9:A10"/>
    <mergeCell ref="J11:L11"/>
    <mergeCell ref="M11:O11"/>
    <mergeCell ref="C10:F10"/>
    <mergeCell ref="G10:H10"/>
    <mergeCell ref="J10:K10"/>
    <mergeCell ref="M10:N10"/>
  </mergeCells>
  <pageMargins left="0.5" right="0.5" top="0.5" bottom="0.5" header="0.5" footer="0.5"/>
  <pageSetup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 final proposal</vt:lpstr>
      <vt:lpstr>final presentation</vt:lpstr>
      <vt:lpstr>works like prototype</vt:lpstr>
      <vt:lpstr>' final proposal'!Print_Area</vt:lpstr>
      <vt:lpstr>'final presentation'!Print_Area</vt:lpstr>
      <vt:lpstr>'works like prototype'!Print_Area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Carey</dc:creator>
  <cp:lastModifiedBy>Leslie Light</cp:lastModifiedBy>
  <cp:lastPrinted>2016-04-15T21:08:49Z</cp:lastPrinted>
  <dcterms:created xsi:type="dcterms:W3CDTF">2014-09-25T21:15:19Z</dcterms:created>
  <dcterms:modified xsi:type="dcterms:W3CDTF">2016-04-16T00:30:04Z</dcterms:modified>
</cp:coreProperties>
</file>